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44525"/>
</workbook>
</file>

<file path=xl/calcChain.xml><?xml version="1.0" encoding="utf-8"?>
<calcChain xmlns="http://schemas.openxmlformats.org/spreadsheetml/2006/main">
  <c r="F36" i="1" l="1"/>
  <c r="G26" i="1"/>
  <c r="H24" i="1"/>
  <c r="J5" i="1"/>
  <c r="F34" i="1" l="1"/>
  <c r="F32" i="1"/>
  <c r="C30" i="1" l="1"/>
  <c r="F29" i="1"/>
  <c r="J7" i="1"/>
  <c r="J8" i="1"/>
  <c r="J9" i="1"/>
  <c r="J4" i="1"/>
  <c r="H21" i="1"/>
  <c r="H17" i="1"/>
  <c r="H22" i="1" s="1"/>
  <c r="H20" i="1"/>
  <c r="H18" i="1"/>
  <c r="C29" i="1"/>
  <c r="C28" i="1"/>
</calcChain>
</file>

<file path=xl/sharedStrings.xml><?xml version="1.0" encoding="utf-8"?>
<sst xmlns="http://schemas.openxmlformats.org/spreadsheetml/2006/main" count="107" uniqueCount="81">
  <si>
    <t>№</t>
  </si>
  <si>
    <t>Наименование</t>
  </si>
  <si>
    <t>Количество</t>
  </si>
  <si>
    <t>Ед.изм.</t>
  </si>
  <si>
    <t>Общая стоимость установки</t>
  </si>
  <si>
    <t>Срок полезной эксплуатации установки</t>
  </si>
  <si>
    <t>Объем арендуемого помещения</t>
  </si>
  <si>
    <t>Количество ярусов</t>
  </si>
  <si>
    <t xml:space="preserve">Габаритные рахзмеры установки </t>
  </si>
  <si>
    <t>Количество растений на 1 ярус</t>
  </si>
  <si>
    <t>Объем бака для питательного раствора</t>
  </si>
  <si>
    <t>Потребляемая мощность 1-ой лампы</t>
  </si>
  <si>
    <t>Продолжительность вегетации (до сбора урожая)</t>
  </si>
  <si>
    <t>Выращиваемая культура</t>
  </si>
  <si>
    <t>Площадь арендуемого помещения (склад с коммуникацией)</t>
  </si>
  <si>
    <t>1000x500x2100</t>
  </si>
  <si>
    <t>Базилик</t>
  </si>
  <si>
    <t>м²</t>
  </si>
  <si>
    <t>м³</t>
  </si>
  <si>
    <t>руб</t>
  </si>
  <si>
    <t>лет</t>
  </si>
  <si>
    <t>шт</t>
  </si>
  <si>
    <t>мм</t>
  </si>
  <si>
    <t>Вт</t>
  </si>
  <si>
    <t>Количество установок</t>
  </si>
  <si>
    <t>Количество воды в месяц</t>
  </si>
  <si>
    <t>на 1 установку</t>
  </si>
  <si>
    <t>литров</t>
  </si>
  <si>
    <t>на всю ферму</t>
  </si>
  <si>
    <t>Количество удобрений за месяц</t>
  </si>
  <si>
    <t xml:space="preserve">на 1 установку </t>
  </si>
  <si>
    <t>грамм</t>
  </si>
  <si>
    <t>pH регулятор</t>
  </si>
  <si>
    <t>мл</t>
  </si>
  <si>
    <t>Выход продукции в натуральном выражении</t>
  </si>
  <si>
    <t>с 1 установки</t>
  </si>
  <si>
    <t>со всей фермы</t>
  </si>
  <si>
    <t xml:space="preserve">Цена продукции </t>
  </si>
  <si>
    <t>Сумма продукции за месяц</t>
  </si>
  <si>
    <t>Сумма продукции за год</t>
  </si>
  <si>
    <t>Окупаемость</t>
  </si>
  <si>
    <t>Потребляемая мощность насоса</t>
  </si>
  <si>
    <t>л</t>
  </si>
  <si>
    <t>Затраты на электроэнергию</t>
  </si>
  <si>
    <t>Расчет себе стоимости продукции</t>
  </si>
  <si>
    <t>Прочие затраты</t>
  </si>
  <si>
    <t>Постоянные затраты</t>
  </si>
  <si>
    <t>Общая сумма затрат</t>
  </si>
  <si>
    <t>Ед.изм</t>
  </si>
  <si>
    <t>Сумма, руб</t>
  </si>
  <si>
    <t>Оплата труда</t>
  </si>
  <si>
    <t>Элементы затрат</t>
  </si>
  <si>
    <t>Комментарии</t>
  </si>
  <si>
    <t>Регулятор pH</t>
  </si>
  <si>
    <t>Удобрение "Акварин-5"</t>
  </si>
  <si>
    <t>Семена</t>
  </si>
  <si>
    <t>Горшки</t>
  </si>
  <si>
    <t>Потребление э/э на осещение с фермы</t>
  </si>
  <si>
    <t>за сутки</t>
  </si>
  <si>
    <t>за месяц</t>
  </si>
  <si>
    <t>Потребление э/э насосами</t>
  </si>
  <si>
    <t>Общее потребление э/э</t>
  </si>
  <si>
    <t>кВт</t>
  </si>
  <si>
    <t>Заработная плата работников</t>
  </si>
  <si>
    <t>Агроном, программист, электрик</t>
  </si>
  <si>
    <t>ФОТ</t>
  </si>
  <si>
    <t>Итого</t>
  </si>
  <si>
    <t>Вода</t>
  </si>
  <si>
    <t>0,5л=450руб, 3,5л</t>
  </si>
  <si>
    <t>2,5кг=400руб, 4,8кг</t>
  </si>
  <si>
    <t>1м³=42,73руб</t>
  </si>
  <si>
    <t>0,25(100 семян) по 10руб*12упаковок=120руб</t>
  </si>
  <si>
    <t>100шт=500руб</t>
  </si>
  <si>
    <t>Аренда помещения</t>
  </si>
  <si>
    <t>1м²=360руб, 107</t>
  </si>
  <si>
    <t>Общая сумма затрат и установок</t>
  </si>
  <si>
    <t>Итог</t>
  </si>
  <si>
    <t>Сити-ферма окупит себя через 5 лет</t>
  </si>
  <si>
    <t>Выручка</t>
  </si>
  <si>
    <t>Прибыль</t>
  </si>
  <si>
    <t>Рентабельность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</si>
</sst>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₽&quot;_-;\-* #,##0.00\ &quot;₽&quot;_-;_-* &quot;-&quot;??\ &quot;₽&quot;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2" applyNumberFormat="1" applyBorder="1" applyAlignment="1">
      <alignment horizontal="center" vertical="center" wrapText="1"/>
    </xf>
    <xf numFmtId="2" fontId="2" fillId="0" borderId="1" xfId="2" applyNumberFormat="1" applyBorder="1" applyAlignment="1">
      <alignment horizontal="center" vertical="center" wrapText="1"/>
    </xf>
    <xf numFmtId="0" fontId="2" fillId="0" borderId="2" xfId="2" applyNumberFormat="1" applyBorder="1" applyAlignment="1">
      <alignment horizontal="center" vertical="center" wrapText="1"/>
    </xf>
    <xf numFmtId="0" fontId="2" fillId="0" borderId="6" xfId="2" applyNumberFormat="1" applyBorder="1" applyAlignment="1">
      <alignment horizontal="center" vertical="center" wrapText="1"/>
    </xf>
    <xf numFmtId="2" fontId="2" fillId="0" borderId="2" xfId="2" applyNumberFormat="1" applyBorder="1" applyAlignment="1">
      <alignment horizontal="center" vertical="center" wrapText="1"/>
    </xf>
    <xf numFmtId="0" fontId="2" fillId="0" borderId="1" xfId="2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2" fontId="0" fillId="0" borderId="2" xfId="1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" fillId="0" borderId="2" xfId="2" applyNumberFormat="1" applyBorder="1" applyAlignment="1">
      <alignment horizontal="center" vertical="center" wrapText="1"/>
    </xf>
    <xf numFmtId="0" fontId="2" fillId="0" borderId="7" xfId="2" applyNumberFormat="1" applyBorder="1" applyAlignment="1">
      <alignment horizontal="center" vertical="center" wrapText="1"/>
    </xf>
    <xf numFmtId="0" fontId="2" fillId="0" borderId="1" xfId="2" applyNumberFormat="1" applyBorder="1" applyAlignment="1">
      <alignment horizontal="center" vertical="center" wrapText="1"/>
    </xf>
    <xf numFmtId="0" fontId="2" fillId="0" borderId="5" xfId="2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3">
    <cellStyle name="Денежный" xfId="1" builtinId="4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topLeftCell="A10" zoomScale="85" zoomScaleNormal="85" workbookViewId="0">
      <selection activeCell="F37" sqref="F37"/>
    </sheetView>
  </sheetViews>
  <sheetFormatPr defaultRowHeight="14.4" x14ac:dyDescent="0.3"/>
  <cols>
    <col min="1" max="1" width="8.88671875" style="6"/>
    <col min="2" max="2" width="31.6640625" style="8" customWidth="1"/>
    <col min="3" max="3" width="14.88671875" style="6" customWidth="1"/>
    <col min="4" max="4" width="12.33203125" style="6" customWidth="1"/>
    <col min="5" max="5" width="8.88671875" style="1"/>
    <col min="6" max="6" width="8.88671875" style="6"/>
    <col min="7" max="7" width="24.77734375" style="6" customWidth="1"/>
    <col min="8" max="8" width="13.33203125" style="6" customWidth="1"/>
    <col min="9" max="9" width="13.5546875" style="6" customWidth="1"/>
    <col min="10" max="10" width="11.88671875" style="6" customWidth="1"/>
  </cols>
  <sheetData>
    <row r="1" spans="1:10" s="3" customFormat="1" x14ac:dyDescent="0.3">
      <c r="A1" s="17" t="s">
        <v>0</v>
      </c>
      <c r="B1" s="17" t="s">
        <v>1</v>
      </c>
      <c r="C1" s="17" t="s">
        <v>2</v>
      </c>
      <c r="D1" s="17" t="s">
        <v>3</v>
      </c>
      <c r="E1" s="2"/>
      <c r="F1" s="26" t="s">
        <v>43</v>
      </c>
      <c r="G1" s="26"/>
      <c r="H1" s="26"/>
      <c r="I1" s="26"/>
      <c r="J1" s="26"/>
    </row>
    <row r="2" spans="1:10" ht="42" customHeight="1" x14ac:dyDescent="0.3">
      <c r="A2" s="4">
        <v>1</v>
      </c>
      <c r="B2" s="7" t="s">
        <v>14</v>
      </c>
      <c r="C2" s="4">
        <v>107</v>
      </c>
      <c r="D2" s="14" t="s">
        <v>17</v>
      </c>
      <c r="F2" s="4" t="s">
        <v>0</v>
      </c>
      <c r="G2" s="4"/>
      <c r="H2" s="4" t="s">
        <v>2</v>
      </c>
      <c r="I2" s="4" t="s">
        <v>48</v>
      </c>
      <c r="J2" s="4" t="s">
        <v>49</v>
      </c>
    </row>
    <row r="3" spans="1:10" ht="28.8" x14ac:dyDescent="0.3">
      <c r="A3" s="4">
        <v>2</v>
      </c>
      <c r="B3" s="7" t="s">
        <v>6</v>
      </c>
      <c r="C3" s="4">
        <v>428</v>
      </c>
      <c r="D3" s="14" t="s">
        <v>18</v>
      </c>
      <c r="F3" s="4">
        <v>1</v>
      </c>
      <c r="G3" s="9" t="s">
        <v>57</v>
      </c>
      <c r="H3" s="4"/>
      <c r="J3" s="4"/>
    </row>
    <row r="4" spans="1:10" x14ac:dyDescent="0.3">
      <c r="A4" s="4">
        <v>3</v>
      </c>
      <c r="B4" s="7" t="s">
        <v>4</v>
      </c>
      <c r="C4" s="4">
        <v>350000</v>
      </c>
      <c r="D4" s="14" t="s">
        <v>19</v>
      </c>
      <c r="F4" s="4">
        <v>2</v>
      </c>
      <c r="G4" s="9" t="s">
        <v>58</v>
      </c>
      <c r="H4" s="4">
        <v>3.53</v>
      </c>
      <c r="I4" s="4" t="s">
        <v>62</v>
      </c>
      <c r="J4" s="16">
        <f>H4*6.15</f>
        <v>21.709499999999998</v>
      </c>
    </row>
    <row r="5" spans="1:10" ht="28.8" x14ac:dyDescent="0.3">
      <c r="A5" s="4">
        <v>4</v>
      </c>
      <c r="B5" s="7" t="s">
        <v>5</v>
      </c>
      <c r="C5" s="4">
        <v>8</v>
      </c>
      <c r="D5" s="14" t="s">
        <v>20</v>
      </c>
      <c r="F5" s="4">
        <v>3</v>
      </c>
      <c r="G5" s="9" t="s">
        <v>59</v>
      </c>
      <c r="H5" s="4">
        <v>105.84</v>
      </c>
      <c r="I5" s="4" t="s">
        <v>62</v>
      </c>
      <c r="J5" s="16">
        <f>H5*6.15</f>
        <v>650.91600000000005</v>
      </c>
    </row>
    <row r="6" spans="1:10" x14ac:dyDescent="0.3">
      <c r="A6" s="4">
        <v>5</v>
      </c>
      <c r="B6" s="7" t="s">
        <v>7</v>
      </c>
      <c r="C6" s="4">
        <v>3</v>
      </c>
      <c r="D6" s="14" t="s">
        <v>21</v>
      </c>
      <c r="F6" s="4">
        <v>4</v>
      </c>
      <c r="G6" s="9" t="s">
        <v>60</v>
      </c>
      <c r="H6" s="4"/>
      <c r="I6" s="4"/>
      <c r="J6" s="16"/>
    </row>
    <row r="7" spans="1:10" x14ac:dyDescent="0.3">
      <c r="A7" s="4">
        <v>6</v>
      </c>
      <c r="B7" s="7" t="s">
        <v>8</v>
      </c>
      <c r="C7" s="4" t="s">
        <v>15</v>
      </c>
      <c r="D7" s="14" t="s">
        <v>22</v>
      </c>
      <c r="F7" s="4">
        <v>5</v>
      </c>
      <c r="G7" s="9" t="s">
        <v>58</v>
      </c>
      <c r="H7" s="4">
        <v>14</v>
      </c>
      <c r="I7" s="4" t="s">
        <v>62</v>
      </c>
      <c r="J7" s="16">
        <f t="shared" ref="J5:J9" si="0">H7*6.15</f>
        <v>86.100000000000009</v>
      </c>
    </row>
    <row r="8" spans="1:10" x14ac:dyDescent="0.3">
      <c r="A8" s="4">
        <v>7</v>
      </c>
      <c r="B8" s="7" t="s">
        <v>9</v>
      </c>
      <c r="C8" s="4">
        <v>15</v>
      </c>
      <c r="D8" s="14" t="s">
        <v>21</v>
      </c>
      <c r="F8" s="4">
        <v>6</v>
      </c>
      <c r="G8" s="9" t="s">
        <v>59</v>
      </c>
      <c r="H8" s="4">
        <v>420</v>
      </c>
      <c r="I8" s="4" t="s">
        <v>62</v>
      </c>
      <c r="J8" s="16">
        <f t="shared" si="0"/>
        <v>2583</v>
      </c>
    </row>
    <row r="9" spans="1:10" ht="29.4" thickBot="1" x14ac:dyDescent="0.35">
      <c r="A9" s="4">
        <v>8</v>
      </c>
      <c r="B9" s="7" t="s">
        <v>10</v>
      </c>
      <c r="C9" s="4">
        <v>50</v>
      </c>
      <c r="D9" s="14" t="s">
        <v>42</v>
      </c>
      <c r="F9" s="4">
        <v>7</v>
      </c>
      <c r="G9" s="12" t="s">
        <v>61</v>
      </c>
      <c r="H9" s="4">
        <v>525.84</v>
      </c>
      <c r="I9" s="4" t="s">
        <v>62</v>
      </c>
      <c r="J9" s="16">
        <f t="shared" si="0"/>
        <v>3233.9160000000002</v>
      </c>
    </row>
    <row r="10" spans="1:10" ht="28.8" x14ac:dyDescent="0.3">
      <c r="A10" s="4">
        <v>9</v>
      </c>
      <c r="B10" s="7" t="s">
        <v>11</v>
      </c>
      <c r="C10" s="4">
        <v>10</v>
      </c>
      <c r="D10" s="14" t="s">
        <v>23</v>
      </c>
      <c r="F10" s="26" t="s">
        <v>44</v>
      </c>
      <c r="G10" s="26"/>
      <c r="H10" s="26"/>
      <c r="I10" s="26"/>
      <c r="J10" s="26"/>
    </row>
    <row r="11" spans="1:10" x14ac:dyDescent="0.3">
      <c r="A11" s="4">
        <v>10</v>
      </c>
      <c r="B11" s="7" t="s">
        <v>41</v>
      </c>
      <c r="C11" s="4">
        <v>250</v>
      </c>
      <c r="D11" s="14" t="s">
        <v>23</v>
      </c>
      <c r="F11" s="4" t="s">
        <v>0</v>
      </c>
      <c r="G11" s="4" t="s">
        <v>51</v>
      </c>
      <c r="H11" s="4" t="s">
        <v>49</v>
      </c>
      <c r="I11" s="24" t="s">
        <v>52</v>
      </c>
      <c r="J11" s="25"/>
    </row>
    <row r="12" spans="1:10" ht="28.8" x14ac:dyDescent="0.3">
      <c r="A12" s="4">
        <v>11</v>
      </c>
      <c r="B12" s="7" t="s">
        <v>12</v>
      </c>
      <c r="C12" s="24">
        <v>35</v>
      </c>
      <c r="D12" s="25"/>
      <c r="F12" s="27" t="s">
        <v>50</v>
      </c>
      <c r="G12" s="28"/>
      <c r="H12" s="28"/>
      <c r="I12" s="28"/>
      <c r="J12" s="29"/>
    </row>
    <row r="13" spans="1:10" ht="28.8" x14ac:dyDescent="0.3">
      <c r="A13" s="4">
        <v>12</v>
      </c>
      <c r="B13" s="7" t="s">
        <v>13</v>
      </c>
      <c r="C13" s="24" t="s">
        <v>16</v>
      </c>
      <c r="D13" s="25"/>
      <c r="F13" s="4">
        <v>1</v>
      </c>
      <c r="G13" s="9" t="s">
        <v>63</v>
      </c>
      <c r="H13" s="10">
        <v>0</v>
      </c>
      <c r="I13" s="36" t="s">
        <v>64</v>
      </c>
      <c r="J13" s="37"/>
    </row>
    <row r="14" spans="1:10" x14ac:dyDescent="0.3">
      <c r="A14" s="4">
        <v>13</v>
      </c>
      <c r="B14" s="7" t="s">
        <v>24</v>
      </c>
      <c r="C14" s="4">
        <v>28</v>
      </c>
      <c r="D14" s="4" t="s">
        <v>21</v>
      </c>
      <c r="F14" s="4">
        <v>2</v>
      </c>
      <c r="G14" s="9" t="s">
        <v>65</v>
      </c>
      <c r="H14" s="10">
        <v>0</v>
      </c>
      <c r="I14" s="36"/>
      <c r="J14" s="37"/>
    </row>
    <row r="15" spans="1:10" x14ac:dyDescent="0.3">
      <c r="A15" s="4">
        <v>14</v>
      </c>
      <c r="B15" s="7" t="s">
        <v>25</v>
      </c>
      <c r="C15" s="4"/>
      <c r="D15" s="4"/>
      <c r="F15" s="4">
        <v>3</v>
      </c>
      <c r="G15" s="11" t="s">
        <v>66</v>
      </c>
      <c r="H15" s="13">
        <v>0</v>
      </c>
      <c r="I15" s="34"/>
      <c r="J15" s="35"/>
    </row>
    <row r="16" spans="1:10" x14ac:dyDescent="0.3">
      <c r="A16" s="4">
        <v>15</v>
      </c>
      <c r="B16" s="7" t="s">
        <v>26</v>
      </c>
      <c r="C16" s="4">
        <v>250</v>
      </c>
      <c r="D16" s="4" t="s">
        <v>27</v>
      </c>
      <c r="F16" s="26" t="s">
        <v>45</v>
      </c>
      <c r="G16" s="26"/>
      <c r="H16" s="26"/>
      <c r="I16" s="26"/>
      <c r="J16" s="26"/>
    </row>
    <row r="17" spans="1:10" x14ac:dyDescent="0.3">
      <c r="A17" s="4">
        <v>16</v>
      </c>
      <c r="B17" s="7" t="s">
        <v>28</v>
      </c>
      <c r="C17" s="4">
        <v>7000</v>
      </c>
      <c r="D17" s="4" t="s">
        <v>27</v>
      </c>
      <c r="F17" s="4">
        <v>1</v>
      </c>
      <c r="G17" s="4" t="s">
        <v>53</v>
      </c>
      <c r="H17" s="4">
        <f>C23/500*450</f>
        <v>3150</v>
      </c>
      <c r="I17" s="30" t="s">
        <v>68</v>
      </c>
      <c r="J17" s="31"/>
    </row>
    <row r="18" spans="1:10" x14ac:dyDescent="0.3">
      <c r="A18" s="4">
        <v>17</v>
      </c>
      <c r="B18" s="7" t="s">
        <v>29</v>
      </c>
      <c r="C18" s="4"/>
      <c r="D18" s="4"/>
      <c r="F18" s="4">
        <v>2</v>
      </c>
      <c r="G18" s="4" t="s">
        <v>54</v>
      </c>
      <c r="H18" s="4">
        <f>C20/2500*400</f>
        <v>768</v>
      </c>
      <c r="I18" s="30" t="s">
        <v>69</v>
      </c>
      <c r="J18" s="31"/>
    </row>
    <row r="19" spans="1:10" ht="27.6" customHeight="1" x14ac:dyDescent="0.3">
      <c r="A19" s="4">
        <v>18</v>
      </c>
      <c r="B19" s="7" t="s">
        <v>30</v>
      </c>
      <c r="C19" s="4">
        <v>200</v>
      </c>
      <c r="D19" s="4" t="s">
        <v>31</v>
      </c>
      <c r="F19" s="4">
        <v>3</v>
      </c>
      <c r="G19" s="4" t="s">
        <v>55</v>
      </c>
      <c r="H19" s="10">
        <v>120</v>
      </c>
      <c r="I19" s="36" t="s">
        <v>71</v>
      </c>
      <c r="J19" s="37"/>
    </row>
    <row r="20" spans="1:10" x14ac:dyDescent="0.3">
      <c r="A20" s="4">
        <v>19</v>
      </c>
      <c r="B20" s="7" t="s">
        <v>28</v>
      </c>
      <c r="C20" s="4">
        <v>4800</v>
      </c>
      <c r="D20" s="4" t="s">
        <v>31</v>
      </c>
      <c r="F20" s="4">
        <v>4</v>
      </c>
      <c r="G20" s="4" t="s">
        <v>56</v>
      </c>
      <c r="H20" s="4">
        <f>C14*C6*C8/100*500</f>
        <v>6300</v>
      </c>
      <c r="I20" s="30" t="s">
        <v>72</v>
      </c>
      <c r="J20" s="31"/>
    </row>
    <row r="21" spans="1:10" x14ac:dyDescent="0.3">
      <c r="A21" s="4">
        <v>20</v>
      </c>
      <c r="B21" s="7" t="s">
        <v>32</v>
      </c>
      <c r="C21" s="4"/>
      <c r="D21" s="4"/>
      <c r="F21" s="4">
        <v>5</v>
      </c>
      <c r="G21" s="4" t="s">
        <v>67</v>
      </c>
      <c r="H21" s="4">
        <f>C17/1000*42.73</f>
        <v>299.10999999999996</v>
      </c>
      <c r="I21" s="30" t="s">
        <v>70</v>
      </c>
      <c r="J21" s="31"/>
    </row>
    <row r="22" spans="1:10" x14ac:dyDescent="0.3">
      <c r="A22" s="4">
        <v>21</v>
      </c>
      <c r="B22" s="7" t="s">
        <v>26</v>
      </c>
      <c r="C22" s="4">
        <v>125</v>
      </c>
      <c r="D22" s="4" t="s">
        <v>33</v>
      </c>
      <c r="F22" s="4">
        <v>6</v>
      </c>
      <c r="G22" s="4" t="s">
        <v>66</v>
      </c>
      <c r="H22" s="4">
        <f>SUM(H17:H21)</f>
        <v>10637.11</v>
      </c>
      <c r="I22" s="30"/>
      <c r="J22" s="31"/>
    </row>
    <row r="23" spans="1:10" x14ac:dyDescent="0.3">
      <c r="A23" s="4">
        <v>22</v>
      </c>
      <c r="B23" s="7" t="s">
        <v>28</v>
      </c>
      <c r="C23" s="4">
        <v>3500</v>
      </c>
      <c r="D23" s="4" t="s">
        <v>33</v>
      </c>
      <c r="F23" s="26" t="s">
        <v>46</v>
      </c>
      <c r="G23" s="26"/>
      <c r="H23" s="26"/>
      <c r="I23" s="26"/>
      <c r="J23" s="26"/>
    </row>
    <row r="24" spans="1:10" ht="28.8" x14ac:dyDescent="0.3">
      <c r="A24" s="4">
        <v>23</v>
      </c>
      <c r="B24" s="7" t="s">
        <v>34</v>
      </c>
      <c r="C24" s="4"/>
      <c r="D24" s="4"/>
      <c r="F24" s="4">
        <v>1</v>
      </c>
      <c r="G24" s="4" t="s">
        <v>73</v>
      </c>
      <c r="H24" s="4">
        <f>C2*360</f>
        <v>38520</v>
      </c>
      <c r="I24" s="24" t="s">
        <v>74</v>
      </c>
      <c r="J24" s="25"/>
    </row>
    <row r="25" spans="1:10" x14ac:dyDescent="0.3">
      <c r="A25" s="4">
        <v>24</v>
      </c>
      <c r="B25" s="7" t="s">
        <v>35</v>
      </c>
      <c r="C25" s="4">
        <v>45</v>
      </c>
      <c r="D25" s="4" t="s">
        <v>21</v>
      </c>
      <c r="F25" s="26" t="s">
        <v>47</v>
      </c>
      <c r="G25" s="26"/>
      <c r="H25" s="26"/>
      <c r="I25" s="26"/>
      <c r="J25" s="26"/>
    </row>
    <row r="26" spans="1:10" x14ac:dyDescent="0.3">
      <c r="A26" s="4">
        <v>25</v>
      </c>
      <c r="B26" s="7" t="s">
        <v>36</v>
      </c>
      <c r="C26" s="4">
        <v>1200</v>
      </c>
      <c r="D26" s="4" t="s">
        <v>21</v>
      </c>
      <c r="F26" s="4">
        <v>1</v>
      </c>
      <c r="G26" s="24">
        <f>H24+H22</f>
        <v>49157.11</v>
      </c>
      <c r="H26" s="38"/>
      <c r="I26" s="38"/>
      <c r="J26" s="25"/>
    </row>
    <row r="27" spans="1:10" x14ac:dyDescent="0.3">
      <c r="A27" s="4">
        <v>26</v>
      </c>
      <c r="B27" s="7" t="s">
        <v>37</v>
      </c>
      <c r="C27" s="4">
        <v>150</v>
      </c>
      <c r="D27" s="4" t="s">
        <v>19</v>
      </c>
      <c r="F27" s="5"/>
      <c r="G27" s="5"/>
      <c r="H27" s="5"/>
      <c r="I27" s="33"/>
      <c r="J27" s="33"/>
    </row>
    <row r="28" spans="1:10" x14ac:dyDescent="0.3">
      <c r="A28" s="4">
        <v>27</v>
      </c>
      <c r="B28" s="7" t="s">
        <v>38</v>
      </c>
      <c r="C28" s="4">
        <f>C27*C26</f>
        <v>180000</v>
      </c>
      <c r="D28" s="4" t="s">
        <v>19</v>
      </c>
      <c r="F28" s="26" t="s">
        <v>75</v>
      </c>
      <c r="G28" s="26"/>
      <c r="H28" s="26"/>
      <c r="I28" s="26"/>
      <c r="J28" s="26"/>
    </row>
    <row r="29" spans="1:10" x14ac:dyDescent="0.3">
      <c r="A29" s="4">
        <v>28</v>
      </c>
      <c r="B29" s="7" t="s">
        <v>39</v>
      </c>
      <c r="C29" s="4">
        <f>C26*C27*12</f>
        <v>2160000</v>
      </c>
      <c r="D29" s="4" t="s">
        <v>19</v>
      </c>
      <c r="F29" s="21">
        <f>G26+C4*C14+J9</f>
        <v>9852391.0259999987</v>
      </c>
      <c r="G29" s="21"/>
      <c r="H29" s="21"/>
      <c r="I29" s="21"/>
      <c r="J29" s="21"/>
    </row>
    <row r="30" spans="1:10" x14ac:dyDescent="0.3">
      <c r="A30" s="15">
        <v>29</v>
      </c>
      <c r="B30" s="18" t="s">
        <v>40</v>
      </c>
      <c r="C30" s="19">
        <f>F29/C29</f>
        <v>4.5612921416666659</v>
      </c>
      <c r="D30" s="15" t="s">
        <v>20</v>
      </c>
      <c r="F30" s="5"/>
      <c r="G30" s="5"/>
      <c r="H30" s="5"/>
      <c r="I30" s="33"/>
      <c r="J30" s="33"/>
    </row>
    <row r="31" spans="1:10" ht="45" customHeight="1" x14ac:dyDescent="0.3">
      <c r="A31" s="20">
        <v>30</v>
      </c>
      <c r="B31" s="20" t="s">
        <v>76</v>
      </c>
      <c r="C31" s="32" t="s">
        <v>77</v>
      </c>
      <c r="D31" s="32"/>
      <c r="F31" s="22" t="s">
        <v>78</v>
      </c>
      <c r="G31" s="22"/>
      <c r="H31" s="22"/>
      <c r="I31" s="22"/>
      <c r="J31" s="22"/>
    </row>
    <row r="32" spans="1:10" x14ac:dyDescent="0.3">
      <c r="F32" s="21">
        <f>C28</f>
        <v>180000</v>
      </c>
      <c r="G32" s="21"/>
      <c r="H32" s="21"/>
      <c r="I32" s="21"/>
      <c r="J32" s="21"/>
    </row>
    <row r="33" spans="6:10" x14ac:dyDescent="0.3">
      <c r="F33" s="22" t="s">
        <v>79</v>
      </c>
      <c r="G33" s="22"/>
      <c r="H33" s="22"/>
      <c r="I33" s="22"/>
      <c r="J33" s="22"/>
    </row>
    <row r="34" spans="6:10" x14ac:dyDescent="0.3">
      <c r="F34" s="21">
        <f>C28-G26</f>
        <v>130842.89</v>
      </c>
      <c r="G34" s="21"/>
      <c r="H34" s="21"/>
      <c r="I34" s="21"/>
      <c r="J34" s="21"/>
    </row>
    <row r="35" spans="6:10" x14ac:dyDescent="0.3">
      <c r="F35" s="22" t="s">
        <v>80</v>
      </c>
      <c r="G35" s="22"/>
      <c r="H35" s="22"/>
      <c r="I35" s="22"/>
      <c r="J35" s="22"/>
    </row>
    <row r="36" spans="6:10" x14ac:dyDescent="0.3">
      <c r="F36" s="23">
        <f>G26/F34*100%</f>
        <v>0.37569569122173929</v>
      </c>
      <c r="G36" s="23"/>
      <c r="H36" s="23"/>
      <c r="I36" s="23"/>
      <c r="J36" s="23"/>
    </row>
  </sheetData>
  <mergeCells count="31">
    <mergeCell ref="I24:J24"/>
    <mergeCell ref="I17:J17"/>
    <mergeCell ref="I18:J18"/>
    <mergeCell ref="C31:D31"/>
    <mergeCell ref="I30:J30"/>
    <mergeCell ref="I19:J19"/>
    <mergeCell ref="G26:J26"/>
    <mergeCell ref="F28:J28"/>
    <mergeCell ref="F29:J29"/>
    <mergeCell ref="I20:J20"/>
    <mergeCell ref="I21:J21"/>
    <mergeCell ref="I22:J22"/>
    <mergeCell ref="I27:J27"/>
    <mergeCell ref="F23:J23"/>
    <mergeCell ref="F25:J25"/>
    <mergeCell ref="F31:J31"/>
    <mergeCell ref="C12:D12"/>
    <mergeCell ref="C13:D13"/>
    <mergeCell ref="F1:J1"/>
    <mergeCell ref="F10:J10"/>
    <mergeCell ref="F16:J16"/>
    <mergeCell ref="F12:J12"/>
    <mergeCell ref="I11:J11"/>
    <mergeCell ref="I15:J15"/>
    <mergeCell ref="I13:J13"/>
    <mergeCell ref="I14:J14"/>
    <mergeCell ref="F32:J32"/>
    <mergeCell ref="F33:J33"/>
    <mergeCell ref="F34:J34"/>
    <mergeCell ref="F35:J35"/>
    <mergeCell ref="F36:J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2025-02-21T07:33:16Z</dcterms:created>
  <dcterms:modified xsi:type="dcterms:W3CDTF">2025-02-21T10:40:37Z</dcterms:modified>
</cp:coreProperties>
</file>